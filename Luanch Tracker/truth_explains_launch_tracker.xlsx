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Tracker" sheetId="1" state="visible" r:id="rId3"/>
    <sheet name="Content Calendar" sheetId="2" state="visible" r:id="rId4"/>
    <sheet name="Assets" sheetId="3" state="visible" r:id="rId5"/>
    <sheet name="Dashboard" sheetId="4" state="visible" r:id="rId6"/>
    <sheet name="Setting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<sst xmlns="http://schemas.openxmlformats.org/spreadsheetml/2006/main" count="334" uniqueCount="176">
  <si>
    <t xml:space="preserve">Platform</t>
  </si>
  <si>
    <t xml:space="preserve">Post Type</t>
  </si>
  <si>
    <t xml:space="preserve">Title</t>
  </si>
  <si>
    <t xml:space="preserve">Status</t>
  </si>
  <si>
    <t xml:space="preserve">Privacy</t>
  </si>
  <si>
    <t xml:space="preserve">Link</t>
  </si>
  <si>
    <t xml:space="preserve">Date Posted</t>
  </si>
  <si>
    <t xml:space="preserve">Campaign</t>
  </si>
  <si>
    <t xml:space="preserve">Owner</t>
  </si>
  <si>
    <t xml:space="preserve">Notes</t>
  </si>
  <si>
    <t xml:space="preserve">Next Action</t>
  </si>
  <si>
    <t xml:space="preserve">Due Date</t>
  </si>
  <si>
    <t xml:space="preserve">YouTube</t>
  </si>
  <si>
    <t xml:space="preserve">Full Episode</t>
  </si>
  <si>
    <t xml:space="preserve">What Cybersecurity Is, For Real</t>
  </si>
  <si>
    <t xml:space="preserve">Published</t>
  </si>
  <si>
    <t xml:space="preserve">Public</t>
  </si>
  <si>
    <t xml:space="preserve">https://youtu.be/ZVV8AzCSAOk</t>
  </si>
  <si>
    <t xml:space="preserve">Episode 01 Launch</t>
  </si>
  <si>
    <t xml:space="preserve">Joyce</t>
  </si>
  <si>
    <t xml:space="preserve">Main long-form episode</t>
  </si>
  <si>
    <t xml:space="preserve">Check analytics after 24 hours</t>
  </si>
  <si>
    <t xml:space="preserve">YouTube Shorts</t>
  </si>
  <si>
    <t xml:space="preserve">Short</t>
  </si>
  <si>
    <t xml:space="preserve">The Pause Is the Power #Shorts</t>
  </si>
  <si>
    <t xml:space="preserve">Short clip from episode</t>
  </si>
  <si>
    <t xml:space="preserve">Confirm views and sound</t>
  </si>
  <si>
    <t xml:space="preserve">Instagram</t>
  </si>
  <si>
    <t xml:space="preserve">Static Post</t>
  </si>
  <si>
    <t xml:space="preserve">Episode 01 is live</t>
  </si>
  <si>
    <t xml:space="preserve">Thumbnail promo post</t>
  </si>
  <si>
    <t xml:space="preserve">Add link/CTA in bio or story</t>
  </si>
  <si>
    <t xml:space="preserve">Reel</t>
  </si>
  <si>
    <t xml:space="preserve">The Pause Is the Power</t>
  </si>
  <si>
    <t xml:space="preserve">Short reel clip</t>
  </si>
  <si>
    <t xml:space="preserve">Check insights tomorrow</t>
  </si>
  <si>
    <t xml:space="preserve">TikTok</t>
  </si>
  <si>
    <t xml:space="preserve">Private</t>
  </si>
  <si>
    <t xml:space="preserve">Only me</t>
  </si>
  <si>
    <t xml:space="preserve">Keep private until ready</t>
  </si>
  <si>
    <t xml:space="preserve">Fix crop if making v2</t>
  </si>
  <si>
    <t xml:space="preserve">On hold: TikTok account name typo — fix lands June 14, then post</t>
  </si>
  <si>
    <t xml:space="preserve">Full vertical version may need crop adjustment</t>
  </si>
  <si>
    <t xml:space="preserve">Create v2 before public launch</t>
  </si>
  <si>
    <t xml:space="preserve">Substack</t>
  </si>
  <si>
    <t xml:space="preserve">Article</t>
  </si>
  <si>
    <t xml:space="preserve">Free/Public</t>
  </si>
  <si>
    <t xml:space="preserve">Aunt Truth summary article</t>
  </si>
  <si>
    <t xml:space="preserve">Share link on social</t>
  </si>
  <si>
    <t xml:space="preserve">Carousel</t>
  </si>
  <si>
    <t xml:space="preserve">3 Signs a Message Might Be a Scam</t>
  </si>
  <si>
    <t xml:space="preserve">Campaign 01: The Pause Is the Power</t>
  </si>
  <si>
    <t xml:space="preserve">5-slide carousel from Instagram Carousel/</t>
  </si>
  <si>
    <t xml:space="preserve">Add live link and check insights</t>
  </si>
  <si>
    <t xml:space="preserve">3 Signs a Message Might Be a Scam #Shorts</t>
  </si>
  <si>
    <t xml:space="preserve">Slideshow video from the 5 carousel slides</t>
  </si>
  <si>
    <t xml:space="preserve">Add live link and confirm views</t>
  </si>
  <si>
    <t xml:space="preserve">Draft</t>
  </si>
  <si>
    <t xml:space="preserve">Slideshow not posted yet</t>
  </si>
  <si>
    <t xml:space="preserve">Scammers Don't Need to Hack You If They Can Rush You</t>
  </si>
  <si>
    <t xml:space="preserve">Follow-up campaign post after 3 Signs carousel</t>
  </si>
  <si>
    <t xml:space="preserve">Upcoming post — uses rush_you short + 9:16 static</t>
  </si>
  <si>
    <t xml:space="preserve">Date</t>
  </si>
  <si>
    <t xml:space="preserve">Content Piece</t>
  </si>
  <si>
    <t xml:space="preserve">Caption/Hook</t>
  </si>
  <si>
    <t xml:space="preserve">Asset Needed</t>
  </si>
  <si>
    <t xml:space="preserve">YouTube Shorts / Instagram Reels / TikTok</t>
  </si>
  <si>
    <t xml:space="preserve">Published/Private</t>
  </si>
  <si>
    <t xml:space="preserve">If something feels urgent, stop.</t>
  </si>
  <si>
    <t xml:space="preserve">ep01_reel_pause_is_power.mp4</t>
  </si>
  <si>
    <t xml:space="preserve">Flagship short</t>
  </si>
  <si>
    <t xml:space="preserve">Instagram / TikTok / YouTube Shorts</t>
  </si>
  <si>
    <t xml:space="preserve">Cybersecurity is not just for hackers</t>
  </si>
  <si>
    <t xml:space="preserve">Idea</t>
  </si>
  <si>
    <t xml:space="preserve">Cybersecurity is your phone, your email, your bank, your photos.</t>
  </si>
  <si>
    <t xml:space="preserve">Clip from EP01</t>
  </si>
  <si>
    <t xml:space="preserve">Create next</t>
  </si>
  <si>
    <t xml:space="preserve">Instagram carousel / Substack note</t>
  </si>
  <si>
    <t xml:space="preserve">3 things cybersecurity protects</t>
  </si>
  <si>
    <t xml:space="preserve">Confidentiality. Integrity. Availability.</t>
  </si>
  <si>
    <t xml:space="preserve">Carousel graphics</t>
  </si>
  <si>
    <t xml:space="preserve">Educational post</t>
  </si>
  <si>
    <t xml:space="preserve">Scammers are not movie hackers</t>
  </si>
  <si>
    <t xml:space="preserve">Most scammers are not geniuses in hoodies.</t>
  </si>
  <si>
    <t xml:space="preserve">Good hook</t>
  </si>
  <si>
    <t xml:space="preserve">Your dog’s name is not a password</t>
  </si>
  <si>
    <t xml:space="preserve">Passwords Campaign</t>
  </si>
  <si>
    <t xml:space="preserve">Your dog’s name with a 1 is not a security plan.</t>
  </si>
  <si>
    <t xml:space="preserve">Password episode/clip</t>
  </si>
  <si>
    <t xml:space="preserve">Teaser for Episode 02</t>
  </si>
  <si>
    <t xml:space="preserve">Asset Name</t>
  </si>
  <si>
    <t xml:space="preserve">Type</t>
  </si>
  <si>
    <t xml:space="preserve">File Name</t>
  </si>
  <si>
    <t xml:space="preserve">Use On</t>
  </si>
  <si>
    <t xml:space="preserve">Location/Link</t>
  </si>
  <si>
    <t xml:space="preserve">YouTube full episode</t>
  </si>
  <si>
    <t xml:space="preserve">Video</t>
  </si>
  <si>
    <t xml:space="preserve">ep01_truth_explains_youtube.mp4</t>
  </si>
  <si>
    <t xml:space="preserve">Posted</t>
  </si>
  <si>
    <t xml:space="preserve">Main 16:9 export</t>
  </si>
  <si>
    <t xml:space="preserve">Instagram full vertical</t>
  </si>
  <si>
    <t xml:space="preserve">ep01_truth_explains_instagram_9x16.mp4</t>
  </si>
  <si>
    <t xml:space="preserve">Ready</t>
  </si>
  <si>
    <t xml:space="preserve">Full vertical episode</t>
  </si>
  <si>
    <t xml:space="preserve">TikTok full vertical</t>
  </si>
  <si>
    <t xml:space="preserve">ep01_truth_explains_tiktok_9x16.mp4</t>
  </si>
  <si>
    <t xml:space="preserve">Needs Fix</t>
  </si>
  <si>
    <t xml:space="preserve">Crop may need v2 before public release</t>
  </si>
  <si>
    <t xml:space="preserve">Pause is power short</t>
  </si>
  <si>
    <t xml:space="preserve">Shorts/Reels/TikTok</t>
  </si>
  <si>
    <t xml:space="preserve">Short clip</t>
  </si>
  <si>
    <t xml:space="preserve">Episode 01 thumbnail</t>
  </si>
  <si>
    <t xml:space="preserve">Image</t>
  </si>
  <si>
    <t xml:space="preserve">ep01_youtube_thumbnail_v1.png</t>
  </si>
  <si>
    <t xml:space="preserve">YouTube/Substack/Instagram</t>
  </si>
  <si>
    <t xml:space="preserve">Main campaign thumbnail</t>
  </si>
  <si>
    <t xml:space="preserve">YouTube banner</t>
  </si>
  <si>
    <t xml:space="preserve">truth_explains_youtube_banner_v3.png</t>
  </si>
  <si>
    <t xml:space="preserve">Channel banner</t>
  </si>
  <si>
    <t xml:space="preserve">Carousel cover slide</t>
  </si>
  <si>
    <t xml:space="preserve">carousel_01_scam_signs_cover.png</t>
  </si>
  <si>
    <t xml:space="preserve">Instagram, TikTok, YouTube</t>
  </si>
  <si>
    <t xml:space="preserve">Instagram Carousel/</t>
  </si>
  <si>
    <t xml:space="preserve">Carousel cover slide: 3 Signs a Message Might Be a Scam</t>
  </si>
  <si>
    <t xml:space="preserve">Carousel slide 2</t>
  </si>
  <si>
    <t xml:space="preserve">carousel_02_act_now_pressure.png</t>
  </si>
  <si>
    <t xml:space="preserve">Slide 2: It Pressures You to Act Now</t>
  </si>
  <si>
    <t xml:space="preserve">Carousel slide 3</t>
  </si>
  <si>
    <t xml:space="preserve">carousel_03_passwords_codes_money.png</t>
  </si>
  <si>
    <t xml:space="preserve">Slide 3: Passwords, codes, or money</t>
  </si>
  <si>
    <t xml:space="preserve">Carousel slide 4</t>
  </si>
  <si>
    <t xml:space="preserve">carousel_04_losing_access_fear.png</t>
  </si>
  <si>
    <t xml:space="preserve">Slide 4: Afraid of losing access</t>
  </si>
  <si>
    <t xml:space="preserve">Carousel final slide</t>
  </si>
  <si>
    <t xml:space="preserve">carousel_05_pause_is_power.png</t>
  </si>
  <si>
    <t xml:space="preserve">Final slide: The Pause Is the Power</t>
  </si>
  <si>
    <t xml:space="preserve">Scam signs slideshow video</t>
  </si>
  <si>
    <t xml:space="preserve">campaign01_3_signs_scam_tiktok_slideshow.mp4</t>
  </si>
  <si>
    <t xml:space="preserve">TikTok, YouTube Shorts</t>
  </si>
  <si>
    <t xml:space="preserve">renders/</t>
  </si>
  <si>
    <t xml:space="preserve">Slideshow video made from the 5 carousel slides. Live on YouTube Shorts; TikTok post pending.</t>
  </si>
  <si>
    <t xml:space="preserve">Rush You static post</t>
  </si>
  <si>
    <t xml:space="preserve">campaign01_rush_you_static_instagram_1080x1350.png</t>
  </si>
  <si>
    <t xml:space="preserve">Rush You vertical static</t>
  </si>
  <si>
    <t xml:space="preserve">campaign01_rush_you_static_1080x1920.png</t>
  </si>
  <si>
    <t xml:space="preserve">Campaigns/Campaign 01/Assets/Images/</t>
  </si>
  <si>
    <t xml:space="preserve">9:16 vertical for upcoming TikTok post</t>
  </si>
  <si>
    <t xml:space="preserve">Rush You TikTok short</t>
  </si>
  <si>
    <t xml:space="preserve">campaign01_rush_you_tiktok_short.mp4</t>
  </si>
  <si>
    <t xml:space="preserve">Short video for upcoming TikTok post</t>
  </si>
  <si>
    <t xml:space="preserve">Truth Explains Launch Dashboard</t>
  </si>
  <si>
    <t xml:space="preserve">Metric</t>
  </si>
  <si>
    <t xml:space="preserve">Count</t>
  </si>
  <si>
    <t xml:space="preserve">Launch Notes</t>
  </si>
  <si>
    <t xml:space="preserve">Total posts</t>
  </si>
  <si>
    <t xml:space="preserve">1</t>
  </si>
  <si>
    <t xml:space="preserve">Keep TikTok private until ready.</t>
  </si>
  <si>
    <t xml:space="preserve">2</t>
  </si>
  <si>
    <t xml:space="preserve">Add live links after every platform confirms posting.</t>
  </si>
  <si>
    <t xml:space="preserve">3</t>
  </si>
  <si>
    <t xml:space="preserve">Check analytics 24 hours after launch, then again at 7 days.</t>
  </si>
  <si>
    <t xml:space="preserve">4</t>
  </si>
  <si>
    <t xml:space="preserve">Next campaign clip: Cybersecurity is not just for hackers.</t>
  </si>
  <si>
    <t xml:space="preserve">Scheduled</t>
  </si>
  <si>
    <t xml:space="preserve">Posts</t>
  </si>
  <si>
    <t xml:space="preserve">Priority</t>
  </si>
  <si>
    <t xml:space="preserve">High</t>
  </si>
  <si>
    <t xml:space="preserve">Medium</t>
  </si>
  <si>
    <t xml:space="preserve">Low</t>
  </si>
  <si>
    <t xml:space="preserve">Later</t>
  </si>
  <si>
    <t xml:space="preserve">Website</t>
  </si>
  <si>
    <t xml:space="preserve">Archived</t>
  </si>
  <si>
    <t xml:space="preserve">Other</t>
  </si>
  <si>
    <t xml:space="preserve">Story</t>
  </si>
  <si>
    <t xml:space="preserve">Community Post</t>
  </si>
  <si>
    <t xml:space="preserve">Newsletter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</si>
</sst>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F46E5"/>
        <bgColor rgb="FF7C3AED"/>
      </patternFill>
    </fill>
    <fill>
      <patternFill patternType="solid">
        <fgColor rgb="FF0F766E"/>
        <bgColor rgb="FF156082"/>
      </patternFill>
    </fill>
    <fill>
      <patternFill patternType="solid">
        <fgColor rgb="FF7C3AED"/>
        <bgColor rgb="FF4F46E5"/>
      </patternFill>
    </fill>
    <fill>
      <patternFill patternType="solid">
        <fgColor rgb="FF111827"/>
        <bgColor rgb="FF1F2937"/>
      </patternFill>
    </fill>
    <fill>
      <patternFill patternType="solid">
        <fgColor rgb="FF1F2937"/>
        <bgColor rgb="FF111827"/>
      </patternFill>
    </fill>
    <fill>
      <patternFill patternType="solid">
        <fgColor rgb="FFF3F4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F46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D4ED8"/>
      </font>
      <fill>
        <patternFill>
          <bgColor rgb="FFDBEAFE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7C3A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BEAFE"/>
      <rgbColor rgb="FFF3F4F6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E97132"/>
      <rgbColor rgb="FF7C3AED"/>
      <rgbColor rgb="FF969696"/>
      <rgbColor rgb="FF003366"/>
      <rgbColor rgb="FF339966"/>
      <rgbColor rgb="FF111827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Posts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"Posts"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Dashboard!$A$11:$A$14</c:f>
              <c:strCache>
                <c:ptCount val="4"/>
                <c:pt idx="0">
                  <c:v>YouTube</c:v>
                </c:pt>
                <c:pt idx="1">
                  <c:v>Instagram</c:v>
                </c:pt>
                <c:pt idx="2">
                  <c:v>TikTok</c:v>
                </c:pt>
                <c:pt idx="3">
                  <c:v>Substack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"Published"</c:f>
              <c:strCache>
                <c:ptCount val="1"/>
                <c:pt idx="0">
                  <c:v>Published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Dashboard!$A$11:$A$14</c:f>
              <c:strCache>
                <c:ptCount val="4"/>
                <c:pt idx="0">
                  <c:v>YouTube</c:v>
                </c:pt>
                <c:pt idx="1">
                  <c:v>Instagram</c:v>
                </c:pt>
                <c:pt idx="2">
                  <c:v>TikTok</c:v>
                </c:pt>
                <c:pt idx="3">
                  <c:v>Substack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1026029"/>
        <c:axId val="54209254"/>
      </c:barChart>
      <c:catAx>
        <c:axId val="102602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4209254"/>
        <c:crosses val="autoZero"/>
        <c:auto val="1"/>
        <c:lblAlgn val="ctr"/>
        <c:lblOffset val="100"/>
        <c:noMultiLvlLbl val="0"/>
      </c:catAx>
      <c:valAx>
        <c:axId val="5420925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0260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0</xdr:rowOff>
    </xdr:from>
    <xdr:to>
      <xdr:col>7</xdr:col>
      <xdr:colOff>701640</xdr:colOff>
      <xdr:row>23</xdr:row>
      <xdr:rowOff>187560</xdr:rowOff>
    </xdr:to>
    <xdr:graphicFrame>
      <xdr:nvGraphicFramePr>
        <xdr:cNvPr id="1" name="Chart 1"/>
        <xdr:cNvGraphicFramePr/>
      </xdr:nvGraphicFramePr>
      <xdr:xfrm>
        <a:off x="3665160" y="2085840"/>
        <a:ext cx="4649040" cy="285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ssetsTable" displayName="AssetsTable" ref="A1:G14" headerRowCount="1" totalsRowCount="0" totalsRowShown="0">
  <tableColumns count="7">
    <tableColumn id="1" name="Asset Name"/>
    <tableColumn id="2" name="Type"/>
    <tableColumn id="3" name="File Name"/>
    <tableColumn id="4" name="Use On"/>
    <tableColumn id="5" name="Status"/>
    <tableColumn id="6" name="Location/Link"/>
    <tableColumn id="7" name="Notes"/>
  </tableColumns>
</table>
</file>

<file path=xl/tables/table2.xml><?xml version="1.0" encoding="utf-8"?>
<table xmlns="http://schemas.openxmlformats.org/spreadsheetml/2006/main" id="2" name="ContentCalendarTable" displayName="ContentCalendarTable" ref="A1:H15" headerRowCount="1" totalsRowCount="0" totalsRowShown="0">
  <tableColumns count="8">
    <tableColumn id="1" name="Date"/>
    <tableColumn id="2" name="Platform"/>
    <tableColumn id="3" name="Content Piece"/>
    <tableColumn id="4" name="Campaign"/>
    <tableColumn id="5" name="Status"/>
    <tableColumn id="6" name="Caption/Hook"/>
    <tableColumn id="7" name="Asset Needed"/>
    <tableColumn id="8" name="Notes"/>
  </tableColumns>
</table>
</file>

<file path=xl/tables/table3.xml><?xml version="1.0" encoding="utf-8"?>
<table xmlns="http://schemas.openxmlformats.org/spreadsheetml/2006/main" id="3" name="LaunchTrackerTable" displayName="LaunchTrackerTable" ref="A1:L15" headerRowCount="1" totalsRowCount="0" totalsRowShown="0">
  <tableColumns count="12">
    <tableColumn id="1" name="Platform"/>
    <tableColumn id="2" name="Post Type"/>
    <tableColumn id="3" name="Title"/>
    <tableColumn id="4" name="Status"/>
    <tableColumn id="5" name="Privacy"/>
    <tableColumn id="6" name="Link"/>
    <tableColumn id="7" name="Date Posted"/>
    <tableColumn id="8" name="Campaign"/>
    <tableColumn id="9" name="Owner"/>
    <tableColumn id="10" name="Notes"/>
    <tableColumn id="11" name="Next Action"/>
    <tableColumn id="12" name="Due Dat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38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34"/>
    <col collapsed="false" customWidth="true" hidden="false" outlineLevel="0" max="11" min="11" style="1" width="32"/>
    <col collapsed="false" customWidth="true" hidden="false" outlineLevel="0" max="12" min="12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true" outlineLevel="0" collapsed="false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/>
      <c r="H2" s="5" t="s">
        <v>18</v>
      </c>
      <c r="I2" s="5" t="s">
        <v>19</v>
      </c>
      <c r="J2" s="5" t="s">
        <v>20</v>
      </c>
      <c r="K2" s="5" t="s">
        <v>21</v>
      </c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3.2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15</v>
      </c>
      <c r="E3" s="5" t="s">
        <v>16</v>
      </c>
      <c r="F3" s="5"/>
      <c r="G3" s="5" t="s">
        <v>18</v>
      </c>
      <c r="H3" s="5" t="s">
        <v>19</v>
      </c>
      <c r="I3" s="5" t="s">
        <v>25</v>
      </c>
      <c r="J3" s="5" t="s">
        <v>26</v>
      </c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23.25" hidden="false" customHeight="true" outlineLevel="0" collapsed="false">
      <c r="A4" s="5" t="s">
        <v>27</v>
      </c>
      <c r="B4" s="5" t="s">
        <v>28</v>
      </c>
      <c r="C4" s="5" t="s">
        <v>29</v>
      </c>
      <c r="D4" s="5" t="s">
        <v>15</v>
      </c>
      <c r="E4" s="5" t="s">
        <v>16</v>
      </c>
      <c r="F4" s="5"/>
      <c r="G4" s="5" t="s">
        <v>18</v>
      </c>
      <c r="H4" s="5" t="s">
        <v>19</v>
      </c>
      <c r="I4" s="5" t="s">
        <v>30</v>
      </c>
      <c r="J4" s="5" t="s">
        <v>31</v>
      </c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23.25" hidden="false" customHeight="true" outlineLevel="0" collapsed="false">
      <c r="A5" s="5" t="s">
        <v>27</v>
      </c>
      <c r="B5" s="5" t="s">
        <v>32</v>
      </c>
      <c r="C5" s="5" t="s">
        <v>33</v>
      </c>
      <c r="D5" s="5" t="s">
        <v>15</v>
      </c>
      <c r="E5" s="5" t="s">
        <v>16</v>
      </c>
      <c r="F5" s="5"/>
      <c r="G5" s="5" t="s">
        <v>18</v>
      </c>
      <c r="H5" s="5" t="s">
        <v>19</v>
      </c>
      <c r="I5" s="5" t="s">
        <v>34</v>
      </c>
      <c r="J5" s="5" t="s">
        <v>35</v>
      </c>
      <c r="K5" s="5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23.25" hidden="false" customHeight="true" outlineLevel="0" collapsed="false">
      <c r="A6" s="5" t="s">
        <v>36</v>
      </c>
      <c r="B6" s="5" t="s">
        <v>23</v>
      </c>
      <c r="C6" s="5" t="s">
        <v>33</v>
      </c>
      <c r="D6" s="5" t="s">
        <v>37</v>
      </c>
      <c r="E6" s="5" t="s">
        <v>38</v>
      </c>
      <c r="F6" s="5"/>
      <c r="G6" s="5" t="s">
        <v>18</v>
      </c>
      <c r="H6" s="5" t="s">
        <v>19</v>
      </c>
      <c r="I6" s="5" t="s">
        <v>39</v>
      </c>
      <c r="J6" s="5" t="s">
        <v>40</v>
      </c>
      <c r="K6" s="5" t="s">
        <v>41</v>
      </c>
      <c r="L6" s="6" t="n">
        <v>46187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45.75" hidden="false" customHeight="true" outlineLevel="0" collapsed="false">
      <c r="A7" s="5" t="s">
        <v>36</v>
      </c>
      <c r="B7" s="5" t="s">
        <v>13</v>
      </c>
      <c r="C7" s="5" t="s">
        <v>14</v>
      </c>
      <c r="D7" s="5" t="s">
        <v>37</v>
      </c>
      <c r="E7" s="5" t="s">
        <v>38</v>
      </c>
      <c r="F7" s="5"/>
      <c r="G7" s="5" t="s">
        <v>18</v>
      </c>
      <c r="H7" s="5" t="s">
        <v>19</v>
      </c>
      <c r="I7" s="5" t="s">
        <v>42</v>
      </c>
      <c r="J7" s="5" t="s">
        <v>43</v>
      </c>
      <c r="K7" s="5" t="s">
        <v>41</v>
      </c>
      <c r="L7" s="6" t="n">
        <v>46187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4.5" hidden="false" customHeight="true" outlineLevel="0" collapsed="false">
      <c r="A8" s="5" t="s">
        <v>44</v>
      </c>
      <c r="B8" s="5" t="s">
        <v>45</v>
      </c>
      <c r="C8" s="5" t="s">
        <v>14</v>
      </c>
      <c r="D8" s="5" t="s">
        <v>15</v>
      </c>
      <c r="E8" s="5" t="s">
        <v>46</v>
      </c>
      <c r="F8" s="5"/>
      <c r="G8" s="5" t="s">
        <v>18</v>
      </c>
      <c r="H8" s="5" t="s">
        <v>19</v>
      </c>
      <c r="I8" s="5" t="s">
        <v>47</v>
      </c>
      <c r="J8" s="5" t="s">
        <v>48</v>
      </c>
      <c r="K8" s="5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23.25" hidden="false" customHeight="true" outlineLevel="0" collapsed="false">
      <c r="A9" s="5" t="s">
        <v>27</v>
      </c>
      <c r="B9" s="5" t="s">
        <v>49</v>
      </c>
      <c r="C9" s="5" t="s">
        <v>50</v>
      </c>
      <c r="D9" s="5" t="s">
        <v>15</v>
      </c>
      <c r="E9" s="5" t="s">
        <v>16</v>
      </c>
      <c r="F9" s="5"/>
      <c r="G9" s="5"/>
      <c r="H9" s="5" t="s">
        <v>51</v>
      </c>
      <c r="I9" s="5" t="s">
        <v>19</v>
      </c>
      <c r="J9" s="5" t="s">
        <v>52</v>
      </c>
      <c r="K9" s="5" t="s">
        <v>53</v>
      </c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23.25" hidden="false" customHeight="true" outlineLevel="0" collapsed="false">
      <c r="A10" s="5" t="s">
        <v>22</v>
      </c>
      <c r="B10" s="5" t="s">
        <v>23</v>
      </c>
      <c r="C10" s="5" t="s">
        <v>54</v>
      </c>
      <c r="D10" s="5" t="s">
        <v>15</v>
      </c>
      <c r="E10" s="5" t="s">
        <v>16</v>
      </c>
      <c r="F10" s="5"/>
      <c r="G10" s="5"/>
      <c r="H10" s="5" t="s">
        <v>51</v>
      </c>
      <c r="I10" s="5" t="s">
        <v>19</v>
      </c>
      <c r="J10" s="5" t="s">
        <v>55</v>
      </c>
      <c r="K10" s="5" t="s">
        <v>56</v>
      </c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23.25" hidden="false" customHeight="true" outlineLevel="0" collapsed="false">
      <c r="A11" s="5" t="s">
        <v>36</v>
      </c>
      <c r="B11" s="5" t="s">
        <v>23</v>
      </c>
      <c r="C11" s="5" t="s">
        <v>50</v>
      </c>
      <c r="D11" s="5" t="s">
        <v>57</v>
      </c>
      <c r="E11" s="5"/>
      <c r="F11" s="5"/>
      <c r="G11" s="5"/>
      <c r="H11" s="5" t="s">
        <v>51</v>
      </c>
      <c r="I11" s="5" t="s">
        <v>19</v>
      </c>
      <c r="J11" s="5" t="s">
        <v>58</v>
      </c>
      <c r="K11" s="5" t="s">
        <v>41</v>
      </c>
      <c r="L11" s="6" t="n">
        <v>46187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true" outlineLevel="0" collapsed="false">
      <c r="A12" s="5" t="s">
        <v>27</v>
      </c>
      <c r="B12" s="5" t="s">
        <v>28</v>
      </c>
      <c r="C12" s="5" t="s">
        <v>59</v>
      </c>
      <c r="D12" s="5" t="s">
        <v>15</v>
      </c>
      <c r="E12" s="5" t="s">
        <v>16</v>
      </c>
      <c r="F12" s="5"/>
      <c r="G12" s="5"/>
      <c r="H12" s="5" t="s">
        <v>51</v>
      </c>
      <c r="I12" s="5" t="s">
        <v>19</v>
      </c>
      <c r="J12" s="5" t="s">
        <v>60</v>
      </c>
      <c r="K12" s="5" t="s">
        <v>53</v>
      </c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true" outlineLevel="0" collapsed="false">
      <c r="A13" s="5" t="s">
        <v>36</v>
      </c>
      <c r="B13" s="5" t="s">
        <v>23</v>
      </c>
      <c r="C13" s="5" t="s">
        <v>59</v>
      </c>
      <c r="D13" s="5" t="s">
        <v>57</v>
      </c>
      <c r="E13" s="5"/>
      <c r="F13" s="5"/>
      <c r="G13" s="5"/>
      <c r="H13" s="5" t="s">
        <v>51</v>
      </c>
      <c r="I13" s="5" t="s">
        <v>19</v>
      </c>
      <c r="J13" s="5" t="s">
        <v>61</v>
      </c>
      <c r="K13" s="5" t="s">
        <v>41</v>
      </c>
      <c r="L13" s="6" t="n">
        <v>46187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conditionalFormatting sqref="D2:D200">
    <cfRule type="expression" priority="2" aboveAverage="0" equalAverage="0" bottom="0" percent="0" rank="0" text="" dxfId="7">
      <formula>D2="Published"</formula>
    </cfRule>
    <cfRule type="expression" priority="3" aboveAverage="0" equalAverage="0" bottom="0" percent="0" rank="0" text="" dxfId="8">
      <formula>D2="Private"</formula>
    </cfRule>
    <cfRule type="expression" priority="4" aboveAverage="0" equalAverage="0" bottom="0" percent="0" rank="0" text="" dxfId="9">
      <formula>D2="Needs Fix"</formula>
    </cfRule>
    <cfRule type="expression" priority="5" aboveAverage="0" equalAverage="0" bottom="0" percent="0" rank="0" text="" dxfId="10">
      <formula>D2="Scheduled"</formula>
    </cfRule>
  </conditionalFormatting>
  <dataValidations count="3">
    <dataValidation allowBlank="false" errorStyle="stop" operator="between" showDropDown="false" showErrorMessage="false" showInputMessage="false" sqref="D2:D200" type="list">
      <formula1>Settings!$A$2:$A$8</formula1>
      <formula2>0</formula2>
    </dataValidation>
    <dataValidation allowBlank="false" errorStyle="stop" operator="between" showDropDown="false" showErrorMessage="false" showInputMessage="false" sqref="A2:A200" type="list">
      <formula1>Settings!$B$2:$B$8</formula1>
      <formula2>0</formula2>
    </dataValidation>
    <dataValidation allowBlank="false" errorStyle="stop" operator="between" showDropDown="false" showErrorMessage="false" showInputMessage="false" sqref="B2:B200" type="list">
      <formula1>Settings!$C$2:$C$10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6"/>
    <col collapsed="false" customWidth="true" hidden="false" outlineLevel="0" max="6" min="6" style="1" width="42"/>
    <col collapsed="false" customWidth="true" hidden="false" outlineLevel="0" max="7" min="7" style="1" width="28"/>
    <col collapsed="false" customWidth="true" hidden="false" outlineLevel="0" max="8" min="8" style="1" width="32"/>
  </cols>
  <sheetData>
    <row r="1" customFormat="false" ht="15" hidden="false" customHeight="true" outlineLevel="0" collapsed="false">
      <c r="A1" s="7" t="s">
        <v>62</v>
      </c>
      <c r="B1" s="8" t="s">
        <v>0</v>
      </c>
      <c r="C1" s="8" t="s">
        <v>63</v>
      </c>
      <c r="D1" s="8" t="s">
        <v>7</v>
      </c>
      <c r="E1" s="8" t="s">
        <v>3</v>
      </c>
      <c r="F1" s="8" t="s">
        <v>64</v>
      </c>
      <c r="G1" s="8" t="s">
        <v>65</v>
      </c>
      <c r="H1" s="8" t="s">
        <v>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23.25" hidden="false" customHeight="true" outlineLevel="0" collapsed="false">
      <c r="A2" s="5"/>
      <c r="B2" s="5" t="s">
        <v>66</v>
      </c>
      <c r="C2" s="5" t="s">
        <v>33</v>
      </c>
      <c r="D2" s="5" t="s">
        <v>33</v>
      </c>
      <c r="E2" s="5" t="s">
        <v>67</v>
      </c>
      <c r="F2" s="5" t="s">
        <v>68</v>
      </c>
      <c r="G2" s="5" t="s">
        <v>69</v>
      </c>
      <c r="H2" s="5" t="s">
        <v>70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3.25" hidden="false" customHeight="true" outlineLevel="0" collapsed="false">
      <c r="A3" s="5"/>
      <c r="B3" s="5" t="s">
        <v>71</v>
      </c>
      <c r="C3" s="5" t="s">
        <v>72</v>
      </c>
      <c r="D3" s="5" t="s">
        <v>18</v>
      </c>
      <c r="E3" s="5" t="s">
        <v>73</v>
      </c>
      <c r="F3" s="5" t="s">
        <v>74</v>
      </c>
      <c r="G3" s="5" t="s">
        <v>75</v>
      </c>
      <c r="H3" s="5" t="s">
        <v>76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23.25" hidden="false" customHeight="true" outlineLevel="0" collapsed="false">
      <c r="A4" s="5"/>
      <c r="B4" s="5" t="s">
        <v>77</v>
      </c>
      <c r="C4" s="5" t="s">
        <v>78</v>
      </c>
      <c r="D4" s="5" t="s">
        <v>18</v>
      </c>
      <c r="E4" s="5" t="s">
        <v>73</v>
      </c>
      <c r="F4" s="5" t="s">
        <v>79</v>
      </c>
      <c r="G4" s="5" t="s">
        <v>80</v>
      </c>
      <c r="H4" s="5" t="s">
        <v>81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23.25" hidden="false" customHeight="true" outlineLevel="0" collapsed="false">
      <c r="A5" s="5"/>
      <c r="B5" s="5" t="s">
        <v>66</v>
      </c>
      <c r="C5" s="5" t="s">
        <v>82</v>
      </c>
      <c r="D5" s="5" t="s">
        <v>18</v>
      </c>
      <c r="E5" s="5" t="s">
        <v>73</v>
      </c>
      <c r="F5" s="5" t="s">
        <v>83</v>
      </c>
      <c r="G5" s="5" t="s">
        <v>75</v>
      </c>
      <c r="H5" s="5" t="s">
        <v>84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23.25" hidden="false" customHeight="true" outlineLevel="0" collapsed="false">
      <c r="A6" s="5"/>
      <c r="B6" s="5" t="s">
        <v>66</v>
      </c>
      <c r="C6" s="5" t="s">
        <v>85</v>
      </c>
      <c r="D6" s="5" t="s">
        <v>86</v>
      </c>
      <c r="E6" s="5" t="s">
        <v>73</v>
      </c>
      <c r="F6" s="5" t="s">
        <v>87</v>
      </c>
      <c r="G6" s="5" t="s">
        <v>88</v>
      </c>
      <c r="H6" s="5" t="s">
        <v>89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dataValidations count="2">
    <dataValidation allowBlank="false" errorStyle="stop" operator="between" showDropDown="false" showErrorMessage="false" showInputMessage="false" sqref="E2:E200" type="list">
      <formula1>Settings!$A$2:$A$8</formula1>
      <formula2>0</formula2>
    </dataValidation>
    <dataValidation allowBlank="false" errorStyle="stop" operator="between" showDropDown="false" showErrorMessage="false" showInputMessage="false" sqref="B2:B200" type="list">
      <formula1>Settings!$B$2:$B$8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34"/>
    <col collapsed="false" customWidth="true" hidden="false" outlineLevel="0" max="7" min="7" style="1" width="38"/>
  </cols>
  <sheetData>
    <row r="1" customFormat="false" ht="15" hidden="false" customHeight="true" outlineLevel="0" collapsed="false">
      <c r="A1" s="9" t="s">
        <v>90</v>
      </c>
      <c r="B1" s="9" t="s">
        <v>91</v>
      </c>
      <c r="C1" s="9" t="s">
        <v>92</v>
      </c>
      <c r="D1" s="9" t="s">
        <v>93</v>
      </c>
      <c r="E1" s="9" t="s">
        <v>3</v>
      </c>
      <c r="F1" s="9" t="s">
        <v>94</v>
      </c>
      <c r="G1" s="9" t="s">
        <v>9</v>
      </c>
      <c r="H1" s="10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true" outlineLevel="0" collapsed="false">
      <c r="A2" s="5" t="s">
        <v>95</v>
      </c>
      <c r="B2" s="5" t="s">
        <v>96</v>
      </c>
      <c r="C2" s="5" t="s">
        <v>97</v>
      </c>
      <c r="D2" s="5" t="s">
        <v>12</v>
      </c>
      <c r="E2" s="5" t="s">
        <v>98</v>
      </c>
      <c r="F2" s="5"/>
      <c r="G2" s="5" t="s">
        <v>99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true" outlineLevel="0" collapsed="false">
      <c r="A3" s="5" t="s">
        <v>100</v>
      </c>
      <c r="B3" s="5" t="s">
        <v>96</v>
      </c>
      <c r="C3" s="5" t="s">
        <v>101</v>
      </c>
      <c r="D3" s="5" t="s">
        <v>27</v>
      </c>
      <c r="E3" s="5" t="s">
        <v>102</v>
      </c>
      <c r="F3" s="5"/>
      <c r="G3" s="5" t="s">
        <v>103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5" t="s">
        <v>104</v>
      </c>
      <c r="B4" s="5" t="s">
        <v>96</v>
      </c>
      <c r="C4" s="5" t="s">
        <v>105</v>
      </c>
      <c r="D4" s="5" t="s">
        <v>36</v>
      </c>
      <c r="E4" s="5" t="s">
        <v>106</v>
      </c>
      <c r="F4" s="5"/>
      <c r="G4" s="5" t="s">
        <v>107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true" outlineLevel="0" collapsed="false">
      <c r="A5" s="5" t="s">
        <v>108</v>
      </c>
      <c r="B5" s="5" t="s">
        <v>96</v>
      </c>
      <c r="C5" s="5" t="s">
        <v>69</v>
      </c>
      <c r="D5" s="5" t="s">
        <v>109</v>
      </c>
      <c r="E5" s="5" t="s">
        <v>98</v>
      </c>
      <c r="F5" s="5"/>
      <c r="G5" s="5" t="s">
        <v>110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true" outlineLevel="0" collapsed="false">
      <c r="A6" s="5" t="s">
        <v>111</v>
      </c>
      <c r="B6" s="5" t="s">
        <v>112</v>
      </c>
      <c r="C6" s="5" t="s">
        <v>113</v>
      </c>
      <c r="D6" s="5" t="s">
        <v>114</v>
      </c>
      <c r="E6" s="5" t="s">
        <v>98</v>
      </c>
      <c r="F6" s="5"/>
      <c r="G6" s="5" t="s">
        <v>115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true" outlineLevel="0" collapsed="false">
      <c r="A7" s="5" t="s">
        <v>116</v>
      </c>
      <c r="B7" s="5" t="s">
        <v>112</v>
      </c>
      <c r="C7" s="5" t="s">
        <v>117</v>
      </c>
      <c r="D7" s="5" t="s">
        <v>12</v>
      </c>
      <c r="E7" s="5" t="s">
        <v>98</v>
      </c>
      <c r="F7" s="5"/>
      <c r="G7" s="5" t="s">
        <v>118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23.25" hidden="false" customHeight="true" outlineLevel="0" collapsed="false">
      <c r="A8" s="5" t="s">
        <v>119</v>
      </c>
      <c r="B8" s="5" t="s">
        <v>112</v>
      </c>
      <c r="C8" s="5" t="s">
        <v>120</v>
      </c>
      <c r="D8" s="5" t="s">
        <v>121</v>
      </c>
      <c r="E8" s="5" t="s">
        <v>98</v>
      </c>
      <c r="F8" s="5" t="s">
        <v>122</v>
      </c>
      <c r="G8" s="5" t="s">
        <v>123</v>
      </c>
      <c r="H8" s="4" t="s">
        <v>51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true" outlineLevel="0" collapsed="false">
      <c r="A9" s="5" t="s">
        <v>124</v>
      </c>
      <c r="B9" s="5" t="s">
        <v>112</v>
      </c>
      <c r="C9" s="5" t="s">
        <v>125</v>
      </c>
      <c r="D9" s="5" t="s">
        <v>121</v>
      </c>
      <c r="E9" s="5" t="s">
        <v>98</v>
      </c>
      <c r="F9" s="5" t="s">
        <v>122</v>
      </c>
      <c r="G9" s="5" t="s">
        <v>126</v>
      </c>
      <c r="H9" s="4" t="s">
        <v>51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true" outlineLevel="0" collapsed="false">
      <c r="A10" s="5" t="s">
        <v>127</v>
      </c>
      <c r="B10" s="5" t="s">
        <v>112</v>
      </c>
      <c r="C10" s="5" t="s">
        <v>128</v>
      </c>
      <c r="D10" s="5" t="s">
        <v>121</v>
      </c>
      <c r="E10" s="5" t="s">
        <v>98</v>
      </c>
      <c r="F10" s="5" t="s">
        <v>122</v>
      </c>
      <c r="G10" s="5" t="s">
        <v>129</v>
      </c>
      <c r="H10" s="4" t="s">
        <v>51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true" outlineLevel="0" collapsed="false">
      <c r="A11" s="5" t="s">
        <v>130</v>
      </c>
      <c r="B11" s="5" t="s">
        <v>112</v>
      </c>
      <c r="C11" s="5" t="s">
        <v>131</v>
      </c>
      <c r="D11" s="5" t="s">
        <v>121</v>
      </c>
      <c r="E11" s="5" t="s">
        <v>98</v>
      </c>
      <c r="F11" s="5" t="s">
        <v>122</v>
      </c>
      <c r="G11" s="5" t="s">
        <v>132</v>
      </c>
      <c r="H11" s="4" t="s">
        <v>51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true" outlineLevel="0" collapsed="false">
      <c r="A12" s="5" t="s">
        <v>133</v>
      </c>
      <c r="B12" s="5" t="s">
        <v>112</v>
      </c>
      <c r="C12" s="5" t="s">
        <v>134</v>
      </c>
      <c r="D12" s="5" t="s">
        <v>121</v>
      </c>
      <c r="E12" s="5" t="s">
        <v>98</v>
      </c>
      <c r="F12" s="5" t="s">
        <v>122</v>
      </c>
      <c r="G12" s="5" t="s">
        <v>135</v>
      </c>
      <c r="H12" s="4" t="s">
        <v>51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4.5" hidden="false" customHeight="true" outlineLevel="0" collapsed="false">
      <c r="A13" s="5" t="s">
        <v>136</v>
      </c>
      <c r="B13" s="5" t="s">
        <v>96</v>
      </c>
      <c r="C13" s="5" t="s">
        <v>137</v>
      </c>
      <c r="D13" s="5" t="s">
        <v>138</v>
      </c>
      <c r="E13" s="5" t="s">
        <v>98</v>
      </c>
      <c r="F13" s="5" t="s">
        <v>139</v>
      </c>
      <c r="G13" s="5" t="s">
        <v>140</v>
      </c>
      <c r="H13" s="4" t="s">
        <v>51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true" outlineLevel="0" collapsed="false">
      <c r="A14" s="5" t="s">
        <v>141</v>
      </c>
      <c r="B14" s="5" t="s">
        <v>112</v>
      </c>
      <c r="C14" s="5" t="s">
        <v>142</v>
      </c>
      <c r="D14" s="5" t="s">
        <v>27</v>
      </c>
      <c r="E14" s="5" t="s">
        <v>98</v>
      </c>
      <c r="F14" s="5"/>
      <c r="G14" s="5" t="s">
        <v>60</v>
      </c>
      <c r="H14" s="4" t="s">
        <v>51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true" outlineLevel="0" collapsed="false">
      <c r="A15" s="5" t="s">
        <v>143</v>
      </c>
      <c r="B15" s="5" t="s">
        <v>112</v>
      </c>
      <c r="C15" s="5" t="s">
        <v>144</v>
      </c>
      <c r="D15" s="5" t="s">
        <v>36</v>
      </c>
      <c r="E15" s="5" t="s">
        <v>102</v>
      </c>
      <c r="F15" s="5" t="s">
        <v>145</v>
      </c>
      <c r="G15" s="5" t="s">
        <v>146</v>
      </c>
      <c r="H15" s="4" t="s">
        <v>51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true" outlineLevel="0" collapsed="false">
      <c r="A16" s="5" t="s">
        <v>147</v>
      </c>
      <c r="B16" s="5" t="s">
        <v>96</v>
      </c>
      <c r="C16" s="5" t="s">
        <v>148</v>
      </c>
      <c r="D16" s="5" t="s">
        <v>36</v>
      </c>
      <c r="E16" s="5" t="s">
        <v>102</v>
      </c>
      <c r="F16" s="5" t="s">
        <v>139</v>
      </c>
      <c r="G16" s="5" t="s">
        <v>149</v>
      </c>
      <c r="H16" s="4" t="s">
        <v>51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" hidden="false" customHeight="true" outlineLevel="0" collapsed="false">
      <c r="A43" s="5"/>
      <c r="B43" s="5"/>
      <c r="C43" s="5"/>
      <c r="D43" s="5"/>
      <c r="E43" s="5"/>
      <c r="F43" s="5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" hidden="false" customHeight="true" outlineLevel="0" collapsed="false">
      <c r="A45" s="5"/>
      <c r="B45" s="5"/>
      <c r="C45" s="5"/>
      <c r="D45" s="5"/>
      <c r="E45" s="5"/>
      <c r="F45" s="5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" hidden="false" customHeight="true" outlineLevel="0" collapsed="false">
      <c r="A61" s="5"/>
      <c r="B61" s="5"/>
      <c r="C61" s="5"/>
      <c r="D61" s="5"/>
      <c r="E61" s="5"/>
      <c r="F61" s="5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dataValidations count="1">
    <dataValidation allowBlank="false" errorStyle="stop" operator="between" showDropDown="false" showErrorMessage="false" showInputMessage="false" sqref="E2:E200" type="list">
      <formula1>Settings!$A$2:$A$8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4" min="4" style="1" width="4"/>
    <col collapsed="false" customWidth="true" hidden="false" outlineLevel="0" max="5" min="5" style="1" width="8"/>
    <col collapsed="false" customWidth="true" hidden="false" outlineLevel="0" max="6" min="6" style="1" width="38"/>
    <col collapsed="false" customWidth="true" hidden="false" outlineLevel="0" max="8" min="7" style="1" width="10"/>
  </cols>
  <sheetData>
    <row r="1" customFormat="false" ht="19.5" hidden="false" customHeight="true" outlineLevel="0" collapsed="false">
      <c r="A1" s="11" t="s">
        <v>150</v>
      </c>
      <c r="B1" s="11"/>
      <c r="C1" s="11"/>
      <c r="D1" s="11"/>
      <c r="E1" s="11"/>
      <c r="F1" s="11"/>
      <c r="G1" s="11"/>
      <c r="H1" s="1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true" outlineLevel="0" collapsed="false">
      <c r="A3" s="12" t="s">
        <v>151</v>
      </c>
      <c r="B3" s="12" t="s">
        <v>152</v>
      </c>
      <c r="C3" s="4"/>
      <c r="D3" s="4"/>
      <c r="E3" s="13" t="s">
        <v>153</v>
      </c>
      <c r="F3" s="13"/>
      <c r="G3" s="13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14" t="s">
        <v>154</v>
      </c>
      <c r="B4" s="15" t="n">
        <f aca="false">COUNTA('Launch Tracker'!C2:C200)</f>
        <v>12</v>
      </c>
      <c r="C4" s="4"/>
      <c r="D4" s="4"/>
      <c r="E4" s="5" t="s">
        <v>155</v>
      </c>
      <c r="F4" s="5" t="s">
        <v>156</v>
      </c>
      <c r="G4" s="5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23.25" hidden="false" customHeight="true" outlineLevel="0" collapsed="false">
      <c r="A5" s="14" t="s">
        <v>15</v>
      </c>
      <c r="B5" s="15" t="n">
        <f aca="false">COUNTIF('Launch Tracker'!D2:D200,"Published")</f>
        <v>8</v>
      </c>
      <c r="C5" s="4"/>
      <c r="D5" s="4"/>
      <c r="E5" s="5" t="s">
        <v>157</v>
      </c>
      <c r="F5" s="5" t="s">
        <v>158</v>
      </c>
      <c r="G5" s="5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23.25" hidden="false" customHeight="true" outlineLevel="0" collapsed="false">
      <c r="A6" s="14" t="s">
        <v>37</v>
      </c>
      <c r="B6" s="15" t="n">
        <f aca="false">COUNTIF('Launch Tracker'!D2:D200,"Private")</f>
        <v>2</v>
      </c>
      <c r="C6" s="4"/>
      <c r="D6" s="4"/>
      <c r="E6" s="5" t="s">
        <v>159</v>
      </c>
      <c r="F6" s="5" t="s">
        <v>160</v>
      </c>
      <c r="G6" s="5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23.25" hidden="false" customHeight="true" outlineLevel="0" collapsed="false">
      <c r="A7" s="14" t="s">
        <v>106</v>
      </c>
      <c r="B7" s="15" t="n">
        <f aca="false">COUNTIF('Launch Tracker'!D2:D200,"Needs Fix")</f>
        <v>0</v>
      </c>
      <c r="C7" s="4"/>
      <c r="D7" s="4"/>
      <c r="E7" s="5" t="s">
        <v>161</v>
      </c>
      <c r="F7" s="5" t="s">
        <v>162</v>
      </c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true" outlineLevel="0" collapsed="false">
      <c r="A8" s="14" t="s">
        <v>163</v>
      </c>
      <c r="B8" s="15" t="n">
        <f aca="false">COUNTIF('Launch Tracker'!D2:D200,"Scheduled")</f>
        <v>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true" outlineLevel="0" collapsed="false">
      <c r="A10" s="12" t="s">
        <v>0</v>
      </c>
      <c r="B10" s="12" t="s">
        <v>164</v>
      </c>
      <c r="C10" s="12" t="s">
        <v>15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true" outlineLevel="0" collapsed="false">
      <c r="A11" s="14" t="s">
        <v>12</v>
      </c>
      <c r="B11" s="16" t="n">
        <f aca="false">COUNTIF('Launch Tracker'!A2:A200,A11)+COUNTIF('Launch Tracker'!A2:A200,"YouTube Shorts")</f>
        <v>3</v>
      </c>
      <c r="C11" s="16" t="n">
        <f aca="false">COUNTIFS('Launch Tracker'!A2:A200,A11,'Launch Tracker'!D2:D200,"Published")+COUNTIFS('Launch Tracker'!A2:A200,"YouTube Shorts",'Launch Tracker'!D2:D200,"Published")</f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true" outlineLevel="0" collapsed="false">
      <c r="A12" s="14" t="s">
        <v>27</v>
      </c>
      <c r="B12" s="16" t="n">
        <f aca="false">COUNTIF('Launch Tracker'!A2:A200,A12)</f>
        <v>4</v>
      </c>
      <c r="C12" s="16" t="n">
        <f aca="false">COUNTIFS('Launch Tracker'!A2:A200,A12,'Launch Tracker'!D2:D200,"Published")</f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true" outlineLevel="0" collapsed="false">
      <c r="A13" s="14" t="s">
        <v>36</v>
      </c>
      <c r="B13" s="16" t="n">
        <f aca="false">COUNTIF('Launch Tracker'!A2:A200,A13)</f>
        <v>4</v>
      </c>
      <c r="C13" s="16" t="n">
        <f aca="false">COUNTIFS('Launch Tracker'!A2:A200,A13,'Launch Tracker'!D2:D200,"Published")</f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true" outlineLevel="0" collapsed="false">
      <c r="A14" s="14" t="s">
        <v>44</v>
      </c>
      <c r="B14" s="16" t="n">
        <f aca="false">COUNTIF('Launch Tracker'!A2:A200,A14)</f>
        <v>1</v>
      </c>
      <c r="C14" s="16" t="n">
        <f aca="false">COUNTIFS('Launch Tracker'!A2:A200,A14,'Launch Tracker'!D2:D200,"Published")</f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H1"/>
    <mergeCell ref="E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18"/>
  </cols>
  <sheetData>
    <row r="1" customFormat="false" ht="15" hidden="false" customHeight="true" outlineLevel="0" collapsed="false">
      <c r="A1" s="17" t="s">
        <v>3</v>
      </c>
      <c r="B1" s="17" t="s">
        <v>0</v>
      </c>
      <c r="C1" s="17" t="s">
        <v>1</v>
      </c>
      <c r="D1" s="17" t="s">
        <v>165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true" outlineLevel="0" collapsed="false">
      <c r="A2" s="4" t="s">
        <v>73</v>
      </c>
      <c r="B2" s="4" t="s">
        <v>12</v>
      </c>
      <c r="C2" s="4" t="s">
        <v>13</v>
      </c>
      <c r="D2" s="4" t="s">
        <v>166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true" outlineLevel="0" collapsed="false">
      <c r="A3" s="4" t="s">
        <v>57</v>
      </c>
      <c r="B3" s="4" t="s">
        <v>22</v>
      </c>
      <c r="C3" s="4" t="s">
        <v>23</v>
      </c>
      <c r="D3" s="4" t="s">
        <v>167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4" t="s">
        <v>163</v>
      </c>
      <c r="B4" s="4" t="s">
        <v>27</v>
      </c>
      <c r="C4" s="4" t="s">
        <v>32</v>
      </c>
      <c r="D4" s="4" t="s">
        <v>168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true" outlineLevel="0" collapsed="false">
      <c r="A5" s="4" t="s">
        <v>37</v>
      </c>
      <c r="B5" s="4" t="s">
        <v>36</v>
      </c>
      <c r="C5" s="4" t="s">
        <v>28</v>
      </c>
      <c r="D5" s="4" t="s">
        <v>169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true" outlineLevel="0" collapsed="false">
      <c r="A6" s="4" t="s">
        <v>15</v>
      </c>
      <c r="B6" s="4" t="s">
        <v>44</v>
      </c>
      <c r="C6" s="4" t="s">
        <v>45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true" outlineLevel="0" collapsed="false">
      <c r="A7" s="4" t="s">
        <v>106</v>
      </c>
      <c r="B7" s="4" t="s">
        <v>170</v>
      </c>
      <c r="C7" s="4" t="s">
        <v>49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true" outlineLevel="0" collapsed="false">
      <c r="A8" s="4" t="s">
        <v>171</v>
      </c>
      <c r="B8" s="4" t="s">
        <v>172</v>
      </c>
      <c r="C8" s="4" t="s">
        <v>173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true" outlineLevel="0" collapsed="false">
      <c r="A9" s="4"/>
      <c r="B9" s="4"/>
      <c r="C9" s="4" t="s">
        <v>174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true" outlineLevel="0" collapsed="false">
      <c r="A10" s="4"/>
      <c r="B10" s="4"/>
      <c r="C10" s="4" t="s">
        <v>175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2026-06-09T21:05:35Z</dcterms:created>
  <dc:creator>openpyxl</dc:creator>
  <dc:description/>
  <dc:language>en-US</dc:language>
  <cp:lastModifiedBy/>
  <dcterms:modified xsi:type="dcterms:W3CDTF">2026-06-11T23:11:51Z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